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Criterios y ayuda" sheetId="2" state="visible" r:id="rId2"/>
    <sheet xmlns:r="http://schemas.openxmlformats.org/officeDocument/2006/relationships" name="Comprobaciones" sheetId="3" state="visible" r:id="rId3"/>
    <sheet xmlns:r="http://schemas.openxmlformats.org/officeDocument/2006/relationships" name="Pendiente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 [$€-es-ES]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002855"/>
    </font>
    <font>
      <b val="1"/>
      <color rgb="00FFFFFF"/>
      <sz val="12"/>
    </font>
    <font>
      <color rgb="00008000"/>
    </font>
    <font>
      <b val="1"/>
      <color rgb="00FFFFFF"/>
    </font>
    <font>
      <color rgb="000070C0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002855"/>
      </patternFill>
    </fill>
    <fill>
      <patternFill patternType="solid">
        <fgColor rgb="00DDEBF7"/>
      </patternFill>
    </fill>
    <fill>
      <patternFill patternType="solid">
        <fgColor rgb="00E7EAED"/>
      </patternFill>
    </fill>
    <fill>
      <patternFill patternType="solid">
        <fgColor rgb="00F2A9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6" fillId="6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SIMULADOR ECONÓMICO INTERNO</t>
        </is>
      </c>
    </row>
    <row r="2"/>
    <row r="3">
      <c r="A3" s="2" t="inlineStr">
        <is>
          <t>Licitación · Inputs amarillos · Importes sin IVA · Las ofertas rivales son hipótesis internas</t>
        </is>
      </c>
    </row>
    <row r="5">
      <c r="A5" s="3" t="inlineStr">
        <is>
          <t>1. PARÁMETROS DEL PLIEGO</t>
        </is>
      </c>
    </row>
    <row r="6">
      <c r="A6" t="inlineStr">
        <is>
          <t>Expediente</t>
        </is>
      </c>
      <c r="C6" s="4" t="n"/>
      <c r="E6" t="inlineStr">
        <is>
          <t>Máximo no económico modelado</t>
        </is>
      </c>
      <c r="G6" s="4" t="n">
        <v>0</v>
      </c>
    </row>
    <row r="7">
      <c r="A7" t="inlineStr">
        <is>
          <t>Presupuesto máximo (sin IVA)</t>
        </is>
      </c>
      <c r="C7" s="4" t="n"/>
      <c r="E7" t="inlineStr">
        <is>
          <t>Máximo cualitativo para umbral</t>
        </is>
      </c>
      <c r="G7" s="4" t="n"/>
    </row>
    <row r="8">
      <c r="A8" t="inlineStr">
        <is>
          <t>Puntuación máxima precio</t>
        </is>
      </c>
      <c r="C8" s="4" t="n"/>
      <c r="E8" t="inlineStr">
        <is>
          <t>Modelo de precio</t>
        </is>
      </c>
      <c r="G8" s="4" t="inlineStr">
        <is>
          <t>no_localizada</t>
        </is>
      </c>
    </row>
    <row r="9">
      <c r="A9" t="inlineStr">
        <is>
          <t>Puntuación total declarada</t>
        </is>
      </c>
      <c r="C9" s="4" t="n"/>
      <c r="E9" t="inlineStr">
        <is>
          <t>Estado fórmula</t>
        </is>
      </c>
      <c r="G9" s="4" t="inlineStr">
        <is>
          <t>PENDIENTE</t>
        </is>
      </c>
    </row>
    <row r="12">
      <c r="A12" s="5" t="inlineStr">
        <is>
          <t>2. ESCENARIO · ESCENARIO CONFIGURABLE</t>
        </is>
      </c>
    </row>
    <row r="14">
      <c r="A14" s="6" t="inlineStr">
        <is>
          <t>Licitador</t>
        </is>
      </c>
      <c r="B14" s="6" t="inlineStr">
        <is>
          <t>Precio ofertado</t>
        </is>
      </c>
      <c r="C14" s="6" t="inlineStr">
        <is>
          <t>% bajada</t>
        </is>
      </c>
      <c r="D14" s="6" t="inlineStr">
        <is>
          <t>Criterio configurable
(0–? p)</t>
        </is>
      </c>
      <c r="E14" s="6" t="inlineStr">
        <is>
          <t>Puntos precio</t>
        </is>
      </c>
      <c r="F14" s="6" t="inlineStr">
        <is>
          <t>Puntuación total</t>
        </is>
      </c>
      <c r="G14" s="6" t="inlineStr">
        <is>
          <t>Puntos no económicos</t>
        </is>
      </c>
      <c r="H14" s="6" t="inlineStr">
        <is>
          <t>C cualitativo</t>
        </is>
      </c>
      <c r="I14" s="6" t="inlineStr">
        <is>
          <t>Umbral baja anormal</t>
        </is>
      </c>
      <c r="J14" s="6" t="inlineStr">
        <is>
          <t>Estado</t>
        </is>
      </c>
      <c r="K14" s="6" t="inlineStr">
        <is>
          <t>Posición</t>
        </is>
      </c>
    </row>
    <row r="15">
      <c r="A15" s="7" t="inlineStr">
        <is>
          <t>NUESTRA OFERTA</t>
        </is>
      </c>
      <c r="B15" s="8" t="n"/>
      <c r="C15" s="9">
        <f>IF(B15="","",1-B15/$C$7)</f>
        <v/>
      </c>
      <c r="D15" s="10" t="n"/>
      <c r="E15" s="7">
        <f>"PENDIENTE"</f>
        <v/>
      </c>
      <c r="F15" s="7">
        <f>""</f>
        <v/>
      </c>
      <c r="G15" s="7">
        <f>IF(B15="","",SUM(D15:D15))</f>
        <v/>
      </c>
      <c r="H15" s="7">
        <f>IF(B15="","",IFERROR(G15/$G$7,0))</f>
        <v/>
      </c>
      <c r="I15" s="7">
        <f>""</f>
        <v/>
      </c>
      <c r="J15" s="7">
        <f>IF(B15="","",IF(I15="","NO CALCULABLE",IF(B15&lt;=I15,"POSIBLE BAJA ANORMAL","NORMAL")))</f>
        <v/>
      </c>
      <c r="K15" s="7">
        <f>IF(F15="","",RANK(F15,$F$15:$F$16,0))</f>
        <v/>
      </c>
    </row>
    <row r="16">
      <c r="A16" s="7" t="inlineStr">
        <is>
          <t>LICITADOR 1</t>
        </is>
      </c>
      <c r="B16" s="8" t="n"/>
      <c r="C16" s="9">
        <f>IF(B16="","",1-B16/$C$7)</f>
        <v/>
      </c>
      <c r="D16" s="10" t="n"/>
      <c r="E16" s="7">
        <f>"PENDIENTE"</f>
        <v/>
      </c>
      <c r="F16" s="7">
        <f>""</f>
        <v/>
      </c>
      <c r="G16" s="7">
        <f>IF(B16="","",SUM(D16:D16))</f>
        <v/>
      </c>
      <c r="H16" s="7">
        <f>IF(B16="","",IFERROR(G16/$G$7,0))</f>
        <v/>
      </c>
      <c r="I16" s="7">
        <f>""</f>
        <v/>
      </c>
      <c r="J16" s="7">
        <f>IF(B16="","",IF(I16="","NO CALCULABLE",IF(B16&lt;=I16,"POSIBLE BAJA ANORMAL","NORMAL")))</f>
        <v/>
      </c>
      <c r="K16" s="7">
        <f>IF(F16="","",RANK(F16,$F$15:$F$16,0))</f>
        <v/>
      </c>
    </row>
  </sheetData>
  <mergeCells count="4">
    <mergeCell ref="A5:K5"/>
    <mergeCell ref="A12:K12"/>
    <mergeCell ref="A1:K2"/>
    <mergeCell ref="A3:K3"/>
  </mergeCells>
  <conditionalFormatting sqref="J15:J16">
    <cfRule type="expression" priority="1" dxfId="0">
      <formula>J15="POSIBLE BAJA ANORMAL"</formula>
    </cfRule>
  </conditionalFormatting>
  <dataValidations count="4">
    <dataValidation sqref="B15" showDropDown="0" showInputMessage="0" showErrorMessage="0" allowBlank="1" errorTitle="Precio no válido" error="El precio debe ser positivo y no superar el presupuesto máximo." type="decimal" operator="between">
      <formula1>0.01</formula1>
      <formula2>1E+15</formula2>
    </dataValidation>
    <dataValidation sqref="D15" showDropDown="0" showInputMessage="0" showErrorMessage="0" allowBlank="1" errorTitle="Puntuación no válida" error="La puntuación debe estar dentro del rango del criterio." type="decimal" operator="between">
      <formula1>0</formula1>
      <formula2>0</formula2>
    </dataValidation>
    <dataValidation sqref="B16" showDropDown="0" showInputMessage="0" showErrorMessage="0" allowBlank="1" errorTitle="Precio no válido" error="El precio debe ser positivo y no superar el presupuesto máximo." type="decimal" operator="between">
      <formula1>0.01</formula1>
      <formula2>1E+15</formula2>
    </dataValidation>
    <dataValidation sqref="D16" showDropDown="0" showInputMessage="0" showErrorMessage="0" allowBlank="1" errorTitle="Puntuación no válida" error="La puntuación debe estar dentro del rango del criterio." type="decimal" operator="between">
      <formula1>0</formula1>
      <formula2>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2" customWidth="1" min="4" max="4"/>
    <col width="22" customWidth="1" min="5" max="5"/>
    <col width="10" customWidth="1" min="6" max="6"/>
    <col width="55" customWidth="1" min="7" max="7"/>
  </cols>
  <sheetData>
    <row r="1">
      <c r="A1" s="1" t="inlineStr">
        <is>
          <t>CRITERIOS, FÓRMULAS Y TRAZABILIDAD</t>
        </is>
      </c>
    </row>
    <row r="2"/>
    <row r="4">
      <c r="A4" s="6" t="inlineStr">
        <is>
          <t>Criterio</t>
        </is>
      </c>
      <c r="B4" s="6" t="inlineStr">
        <is>
          <t>Máximo</t>
        </is>
      </c>
      <c r="C4" s="6" t="inlineStr">
        <is>
          <t>Tipo</t>
        </is>
      </c>
      <c r="D4" s="6" t="inlineStr">
        <is>
          <t>Tratamiento</t>
        </is>
      </c>
      <c r="E4" s="6" t="inlineStr">
        <is>
          <t>Documento</t>
        </is>
      </c>
      <c r="F4" s="6" t="inlineStr">
        <is>
          <t>Página</t>
        </is>
      </c>
      <c r="G4" s="6" t="inlineStr">
        <is>
          <t>Texto citado</t>
        </is>
      </c>
    </row>
    <row r="5">
      <c r="A5" t="inlineStr">
        <is>
          <t>Oferta económica</t>
        </is>
      </c>
      <c r="C5" t="inlineStr">
        <is>
          <t>precio</t>
        </is>
      </c>
    </row>
    <row r="6">
      <c r="A6" t="inlineStr">
        <is>
          <t>Criterio configurable</t>
        </is>
      </c>
      <c r="C6" t="inlineStr">
        <is>
          <t>juicio_valor</t>
        </is>
      </c>
      <c r="D6" t="inlineStr">
        <is>
          <t>Se sustituye con los criterios del pliego.</t>
        </is>
      </c>
    </row>
    <row r="9">
      <c r="A9" s="11" t="inlineStr">
        <is>
          <t>ADVERTENCIAS</t>
        </is>
      </c>
    </row>
    <row r="10">
      <c r="A10" t="inlineStr">
        <is>
          <t>Plantilla neutra: generar desde un dossier validado de Análisis 2.</t>
        </is>
      </c>
    </row>
  </sheetData>
  <mergeCells count="2">
    <mergeCell ref="A10:G10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</cols>
  <sheetData>
    <row r="1">
      <c r="A1" s="1" t="inlineStr">
        <is>
          <t>COMPROBACIONES DEL MODELO</t>
        </is>
      </c>
    </row>
    <row r="2"/>
    <row r="4">
      <c r="A4" s="6" t="inlineStr">
        <is>
          <t>Control</t>
        </is>
      </c>
      <c r="B4" s="6" t="inlineStr">
        <is>
          <t>Actual</t>
        </is>
      </c>
      <c r="C4" s="6" t="inlineStr">
        <is>
          <t>Esperado</t>
        </is>
      </c>
      <c r="D4" s="6" t="inlineStr">
        <is>
          <t>Diferencia</t>
        </is>
      </c>
      <c r="E4" s="6" t="inlineStr">
        <is>
          <t>Estado</t>
        </is>
      </c>
      <c r="F4" s="6" t="inlineStr">
        <is>
          <t>Observaciones</t>
        </is>
      </c>
    </row>
    <row r="5">
      <c r="A5" t="inlineStr">
        <is>
          <t>Total máximo modelado</t>
        </is>
      </c>
      <c r="B5" t="n">
        <v>0</v>
      </c>
      <c r="D5">
        <f>IF(OR(B5="",C5=""),"",B5-C5)</f>
        <v/>
      </c>
      <c r="E5">
        <f>IF(D5="","ADVERTENCIA",IF(ABS(D5)&lt;0.000001,"OK","ERROR"))</f>
        <v/>
      </c>
      <c r="F5" t="inlineStr">
        <is>
          <t>La suma debe coincidir con el pliego.</t>
        </is>
      </c>
    </row>
    <row r="6">
      <c r="A6" t="inlineStr">
        <is>
          <t>Fórmula económica soportada</t>
        </is>
      </c>
      <c r="B6" t="n">
        <v>0</v>
      </c>
      <c r="C6" t="n">
        <v>1</v>
      </c>
      <c r="D6">
        <f>IF(OR(B6="",C6=""),"",B6-C6)</f>
        <v/>
      </c>
      <c r="E6">
        <f>IF(D6="","ADVERTENCIA",IF(ABS(D6)&lt;0.000001,"OK","ERROR"))</f>
        <v/>
      </c>
      <c r="F6" t="inlineStr">
        <is>
          <t>Una fórmula no soportada requiere revisión manual.</t>
        </is>
      </c>
    </row>
    <row r="7">
      <c r="A7" t="inlineStr">
        <is>
          <t>Máximo no económico modelado</t>
        </is>
      </c>
      <c r="B7" t="n">
        <v>0</v>
      </c>
      <c r="C7" t="n">
        <v>0</v>
      </c>
      <c r="D7">
        <f>IF(OR(B7="",C7=""),"",B7-C7)</f>
        <v/>
      </c>
      <c r="E7">
        <f>IF(D7="","ADVERTENCIA",IF(ABS(D7)&lt;0.000001,"OK","ERROR"))</f>
        <v/>
      </c>
      <c r="F7" t="inlineStr">
        <is>
          <t>Suma de criterios no económicos.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42" customWidth="1" min="3" max="3"/>
  </cols>
  <sheetData>
    <row r="1">
      <c r="A1" s="1" t="inlineStr">
        <is>
          <t>PENDIENTES DEL SIMULADOR</t>
        </is>
      </c>
    </row>
    <row r="2"/>
    <row r="4">
      <c r="A4" s="6" t="inlineStr">
        <is>
          <t>Pendiente</t>
        </is>
      </c>
      <c r="B4" s="6" t="inlineStr">
        <is>
          <t>Origen</t>
        </is>
      </c>
      <c r="C4" s="6" t="inlineStr">
        <is>
          <t>Acción</t>
        </is>
      </c>
    </row>
    <row r="5">
      <c r="A5" t="inlineStr">
        <is>
          <t>Fórmula económica no soportada</t>
        </is>
      </c>
      <c r="B5" t="inlineStr">
        <is>
          <t>Pliego</t>
        </is>
      </c>
      <c r="C5" t="inlineStr">
        <is>
          <t>Revisar e implementar antes de simular</t>
        </is>
      </c>
    </row>
    <row r="6">
      <c r="A6" t="inlineStr">
        <is>
          <t>Plantilla neutra: generar desde un dossier validado de Análisis 2.</t>
        </is>
      </c>
      <c r="B6" t="inlineStr">
        <is>
          <t>Análisis 2</t>
        </is>
      </c>
      <c r="C6" t="inlineStr">
        <is>
          <t>Revisar</t>
        </is>
      </c>
    </row>
    <row r="7">
      <c r="A7" t="inlineStr">
        <is>
          <t>Completar al generar una licitación concreta.</t>
        </is>
      </c>
      <c r="B7" t="inlineStr">
        <is>
          <t>Inputs internos</t>
        </is>
      </c>
      <c r="C7" t="inlineStr">
        <is>
          <t>Completar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Plantilla de simulador económico interno</dc:title>
  <dc:subject xmlns:dc="http://purl.org/dc/elements/1.1/">Plantilla neutra; sin datos de licitación ni oferta</dc:subject>
  <dcterms:created xmlns:dcterms="http://purl.org/dc/terms/" xmlns:xsi="http://www.w3.org/2001/XMLSchema-instance" xsi:type="dcterms:W3CDTF">2026-09-17T07:45:50Z</dcterms:created>
  <dcterms:modified xmlns:dcterms="http://purl.org/dc/terms/" xmlns:xsi="http://www.w3.org/2001/XMLSchema-instance" xsi:type="dcterms:W3CDTF">2026-09-17T07:45:50Z</dcterms:modified>
</cp:coreProperties>
</file>